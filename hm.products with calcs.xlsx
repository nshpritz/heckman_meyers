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amtrustgroup-my.sharepoint.com/personal/nathan_shpritz_amtrustgroup_com/Documents/Documents/Python Scripts/Actuarial/src/"/>
    </mc:Choice>
  </mc:AlternateContent>
  <xr:revisionPtr revIDLastSave="0" documentId="8_{31596BF8-8D32-44F8-B08D-1E5F1F4815F0}" xr6:coauthVersionLast="47" xr6:coauthVersionMax="47" xr10:uidLastSave="{00000000-0000-0000-0000-000000000000}"/>
  <bookViews>
    <workbookView xWindow="-57720" yWindow="2415" windowWidth="29040" windowHeight="15720" activeTab="1" xr2:uid="{00000000-000D-0000-FFFF-FFFF00000000}"/>
  </bookViews>
  <sheets>
    <sheet name="Lines" sheetId="1" r:id="rId1"/>
    <sheet name="Distributions" sheetId="2" r:id="rId2"/>
    <sheet name="OutputPoi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E27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E2" i="2"/>
</calcChain>
</file>

<file path=xl/sharedStrings.xml><?xml version="1.0" encoding="utf-8"?>
<sst xmlns="http://schemas.openxmlformats.org/spreadsheetml/2006/main" count="10" uniqueCount="8">
  <si>
    <t>Value</t>
  </si>
  <si>
    <t>EntryRatio</t>
  </si>
  <si>
    <t>Line</t>
  </si>
  <si>
    <t>Cumprob</t>
  </si>
  <si>
    <t>ExpectedLoss</t>
  </si>
  <si>
    <t>Contagion</t>
  </si>
  <si>
    <t>Name</t>
  </si>
  <si>
    <t>Products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</si>
</sst>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workbookViewId="0">
      <selection activeCell="C15" sqref="C15"/>
    </sheetView>
  </sheetViews>
  <sheetFormatPr defaultRowHeight="14.5" x14ac:dyDescent="0.35"/>
  <cols>
    <col min="1" max="1" width="4.453125" style="1" bestFit="1" customWidth="1"/>
    <col min="2" max="2" width="12.1796875" style="1" bestFit="1" customWidth="1"/>
    <col min="3" max="3" width="15.1796875" style="4" customWidth="1"/>
    <col min="4" max="4" width="13.54296875" bestFit="1" customWidth="1"/>
  </cols>
  <sheetData>
    <row r="1" spans="1:4" ht="18.75" customHeight="1" x14ac:dyDescent="0.35">
      <c r="A1" s="1" t="s">
        <v>2</v>
      </c>
      <c r="B1" s="1" t="s">
        <v>4</v>
      </c>
      <c r="C1" s="4" t="s">
        <v>5</v>
      </c>
      <c r="D1" t="s">
        <v>6</v>
      </c>
    </row>
    <row r="2" spans="1:4" ht="18.75" customHeight="1" x14ac:dyDescent="0.35">
      <c r="A2" s="3">
        <v>1</v>
      </c>
      <c r="B2" s="3">
        <v>500000</v>
      </c>
      <c r="C2" s="5">
        <v>0</v>
      </c>
      <c r="D2" t="s">
        <v>7</v>
      </c>
    </row>
    <row r="3" spans="1:4" ht="18.75" customHeight="1" x14ac:dyDescent="0.35">
      <c r="A3" s="3"/>
      <c r="B3" s="3"/>
      <c r="C3" s="5"/>
    </row>
    <row r="4" spans="1:4" ht="18.75" customHeight="1" x14ac:dyDescent="0.35">
      <c r="A4" s="3"/>
      <c r="B4" s="3"/>
      <c r="C4" s="5"/>
    </row>
    <row r="5" spans="1:4" ht="18.75" customHeight="1" x14ac:dyDescent="0.35">
      <c r="A5" s="3"/>
      <c r="B5" s="3"/>
      <c r="C5" s="5"/>
    </row>
    <row r="6" spans="1:4" ht="18.75" customHeight="1" x14ac:dyDescent="0.35">
      <c r="A6" s="3"/>
      <c r="B6" s="3"/>
      <c r="C6" s="5"/>
    </row>
    <row r="7" spans="1:4" ht="18.75" customHeight="1" x14ac:dyDescent="0.35">
      <c r="A7" s="3"/>
      <c r="B7" s="3"/>
      <c r="C7" s="5"/>
    </row>
    <row r="8" spans="1:4" ht="18.75" customHeight="1" x14ac:dyDescent="0.35">
      <c r="A8" s="3"/>
      <c r="B8" s="3"/>
      <c r="C8" s="5"/>
    </row>
    <row r="9" spans="1:4" ht="18.75" customHeight="1" x14ac:dyDescent="0.35">
      <c r="A9" s="3"/>
      <c r="B9" s="3"/>
      <c r="C9" s="5"/>
    </row>
    <row r="10" spans="1:4" ht="18.75" customHeight="1" x14ac:dyDescent="0.35">
      <c r="A10" s="3"/>
      <c r="B10" s="3"/>
      <c r="C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8"/>
  <sheetViews>
    <sheetView tabSelected="1" workbookViewId="0">
      <selection activeCell="Q11" sqref="Q11"/>
    </sheetView>
  </sheetViews>
  <sheetFormatPr defaultRowHeight="14.5" x14ac:dyDescent="0.35"/>
  <cols>
    <col min="1" max="2" width="13.54296875" style="1" bestFit="1" customWidth="1"/>
    <col min="3" max="3" width="13.54296875" style="4" bestFit="1" customWidth="1"/>
    <col min="5" max="5" width="12.453125" bestFit="1" customWidth="1"/>
  </cols>
  <sheetData>
    <row r="1" spans="1:7" ht="18.75" customHeight="1" x14ac:dyDescent="0.35">
      <c r="A1" s="1" t="s">
        <v>2</v>
      </c>
      <c r="B1" s="1" t="s">
        <v>0</v>
      </c>
      <c r="C1" s="4" t="s">
        <v>3</v>
      </c>
    </row>
    <row r="2" spans="1:7" ht="18.75" customHeight="1" x14ac:dyDescent="0.35">
      <c r="A2" s="3">
        <v>1</v>
      </c>
      <c r="B2" s="3">
        <v>1000</v>
      </c>
      <c r="C2" s="6">
        <v>0.38934999999999997</v>
      </c>
      <c r="D2" s="7">
        <f>C2</f>
        <v>0.38934999999999997</v>
      </c>
      <c r="E2">
        <f>C2*B2^2</f>
        <v>389350</v>
      </c>
      <c r="G2">
        <f>D2*B2/2</f>
        <v>194.67499999999998</v>
      </c>
    </row>
    <row r="3" spans="1:7" ht="18.75" customHeight="1" x14ac:dyDescent="0.35">
      <c r="A3" s="3">
        <v>1</v>
      </c>
      <c r="B3" s="3">
        <v>5000</v>
      </c>
      <c r="C3" s="6">
        <v>0.77869999999999995</v>
      </c>
      <c r="D3" s="7">
        <f>C3-C2</f>
        <v>0.38934999999999997</v>
      </c>
      <c r="E3">
        <f>D3*(B2*B2+B3*B3+B3*B2)/3</f>
        <v>4023283.3333333335</v>
      </c>
      <c r="G3">
        <f>D3*(B3+B2)/2</f>
        <v>1168.05</v>
      </c>
    </row>
    <row r="4" spans="1:7" ht="18.75" customHeight="1" x14ac:dyDescent="0.35">
      <c r="A4" s="3">
        <v>1</v>
      </c>
      <c r="B4" s="3">
        <v>6000</v>
      </c>
      <c r="C4" s="6">
        <v>0.78437999999999997</v>
      </c>
      <c r="D4" s="7">
        <f t="shared" ref="D4:D23" si="0">C4-C3</f>
        <v>5.6800000000000184E-3</v>
      </c>
      <c r="E4">
        <f t="shared" ref="E4:E24" si="1">D4*(B3*B3+B4*B4+B4*B3)/3</f>
        <v>172293.3333333339</v>
      </c>
      <c r="G4">
        <f t="shared" ref="G4:G25" si="2">D4*(B4+B3)/2</f>
        <v>31.240000000000101</v>
      </c>
    </row>
    <row r="5" spans="1:7" ht="18.75" customHeight="1" x14ac:dyDescent="0.35">
      <c r="A5" s="3">
        <v>1</v>
      </c>
      <c r="B5" s="3">
        <v>7000</v>
      </c>
      <c r="C5" s="6">
        <v>0.78981000000000001</v>
      </c>
      <c r="D5" s="7">
        <f t="shared" si="0"/>
        <v>5.4300000000000459E-3</v>
      </c>
      <c r="E5">
        <f t="shared" si="1"/>
        <v>229870.00000000195</v>
      </c>
      <c r="G5">
        <f t="shared" si="2"/>
        <v>35.2950000000003</v>
      </c>
    </row>
    <row r="6" spans="1:7" ht="18.75" customHeight="1" x14ac:dyDescent="0.35">
      <c r="A6" s="3">
        <v>1</v>
      </c>
      <c r="B6" s="3">
        <v>8000</v>
      </c>
      <c r="C6" s="6">
        <v>0.79498000000000002</v>
      </c>
      <c r="D6" s="7">
        <f t="shared" si="0"/>
        <v>5.1700000000000079E-3</v>
      </c>
      <c r="E6">
        <f t="shared" si="1"/>
        <v>291243.33333333378</v>
      </c>
      <c r="G6">
        <f t="shared" si="2"/>
        <v>38.775000000000063</v>
      </c>
    </row>
    <row r="7" spans="1:7" ht="18.75" customHeight="1" x14ac:dyDescent="0.35">
      <c r="A7" s="3">
        <v>1</v>
      </c>
      <c r="B7" s="3">
        <v>9000</v>
      </c>
      <c r="C7" s="6">
        <v>0.79993000000000003</v>
      </c>
      <c r="D7" s="7">
        <f t="shared" si="0"/>
        <v>4.9500000000000099E-3</v>
      </c>
      <c r="E7">
        <f t="shared" si="1"/>
        <v>358050.0000000007</v>
      </c>
      <c r="G7">
        <f t="shared" si="2"/>
        <v>42.075000000000088</v>
      </c>
    </row>
    <row r="8" spans="1:7" ht="18.75" customHeight="1" x14ac:dyDescent="0.35">
      <c r="A8" s="3">
        <v>1</v>
      </c>
      <c r="B8" s="3">
        <v>10000</v>
      </c>
      <c r="C8" s="6">
        <v>0.80466000000000004</v>
      </c>
      <c r="D8" s="7">
        <f t="shared" si="0"/>
        <v>4.730000000000012E-3</v>
      </c>
      <c r="E8">
        <f t="shared" si="1"/>
        <v>427276.66666666773</v>
      </c>
      <c r="G8">
        <f t="shared" si="2"/>
        <v>44.935000000000116</v>
      </c>
    </row>
    <row r="9" spans="1:7" ht="18.75" customHeight="1" x14ac:dyDescent="0.35">
      <c r="A9" s="3">
        <v>1</v>
      </c>
      <c r="B9" s="3">
        <v>12500</v>
      </c>
      <c r="C9" s="6">
        <v>0.81564000000000003</v>
      </c>
      <c r="D9" s="7">
        <f t="shared" si="0"/>
        <v>1.097999999999999E-2</v>
      </c>
      <c r="E9">
        <f t="shared" si="1"/>
        <v>1395374.9999999988</v>
      </c>
      <c r="G9">
        <f t="shared" si="2"/>
        <v>123.52499999999989</v>
      </c>
    </row>
    <row r="10" spans="1:7" ht="18.75" customHeight="1" x14ac:dyDescent="0.35">
      <c r="A10" s="3">
        <v>1</v>
      </c>
      <c r="B10" s="3">
        <v>15000</v>
      </c>
      <c r="C10" s="6">
        <v>0.82552999999999999</v>
      </c>
      <c r="D10" s="7">
        <f t="shared" si="0"/>
        <v>9.8899999999999544E-3</v>
      </c>
      <c r="E10">
        <f t="shared" si="1"/>
        <v>1874979.1666666579</v>
      </c>
      <c r="G10">
        <f t="shared" si="2"/>
        <v>135.98749999999939</v>
      </c>
    </row>
    <row r="11" spans="1:7" ht="18.75" customHeight="1" x14ac:dyDescent="0.35">
      <c r="A11" s="3">
        <v>1</v>
      </c>
      <c r="B11" s="1">
        <v>17500</v>
      </c>
      <c r="C11" s="6">
        <v>0.83448999999999995</v>
      </c>
      <c r="D11" s="7">
        <f t="shared" si="0"/>
        <v>8.959999999999968E-3</v>
      </c>
      <c r="E11">
        <f t="shared" si="1"/>
        <v>2370666.6666666581</v>
      </c>
      <c r="G11">
        <f t="shared" si="2"/>
        <v>145.59999999999948</v>
      </c>
    </row>
    <row r="12" spans="1:7" ht="18.75" customHeight="1" x14ac:dyDescent="0.35">
      <c r="A12" s="3">
        <v>1</v>
      </c>
      <c r="B12" s="3">
        <v>20000</v>
      </c>
      <c r="C12" s="6">
        <v>0.84263999999999994</v>
      </c>
      <c r="D12" s="7">
        <f t="shared" si="0"/>
        <v>8.1499999999999906E-3</v>
      </c>
      <c r="E12">
        <f t="shared" si="1"/>
        <v>2869479.1666666637</v>
      </c>
      <c r="G12">
        <f t="shared" si="2"/>
        <v>152.81249999999983</v>
      </c>
    </row>
    <row r="13" spans="1:7" ht="18.75" customHeight="1" x14ac:dyDescent="0.35">
      <c r="A13" s="3">
        <v>1</v>
      </c>
      <c r="B13" s="3">
        <v>25000</v>
      </c>
      <c r="C13" s="6">
        <v>0.8569</v>
      </c>
      <c r="D13" s="7">
        <f t="shared" si="0"/>
        <v>1.426000000000005E-2</v>
      </c>
      <c r="E13">
        <f t="shared" si="1"/>
        <v>7248833.3333333591</v>
      </c>
      <c r="G13">
        <f t="shared" si="2"/>
        <v>320.85000000000116</v>
      </c>
    </row>
    <row r="14" spans="1:7" ht="18.75" customHeight="1" x14ac:dyDescent="0.35">
      <c r="A14" s="3">
        <v>1</v>
      </c>
      <c r="B14" s="3">
        <v>35000</v>
      </c>
      <c r="C14" s="6">
        <v>0.87927</v>
      </c>
      <c r="D14" s="7">
        <f t="shared" si="0"/>
        <v>2.2370000000000001E-2</v>
      </c>
      <c r="E14">
        <f t="shared" si="1"/>
        <v>20319416.666666668</v>
      </c>
      <c r="G14">
        <f t="shared" si="2"/>
        <v>671.1</v>
      </c>
    </row>
    <row r="15" spans="1:7" ht="18.75" customHeight="1" x14ac:dyDescent="0.35">
      <c r="A15" s="3">
        <v>1</v>
      </c>
      <c r="B15" s="3">
        <v>50000</v>
      </c>
      <c r="C15" s="6">
        <v>0.90280000000000005</v>
      </c>
      <c r="D15" s="7">
        <f t="shared" si="0"/>
        <v>2.3530000000000051E-2</v>
      </c>
      <c r="E15">
        <f t="shared" si="1"/>
        <v>42942250.000000097</v>
      </c>
      <c r="G15">
        <f t="shared" si="2"/>
        <v>1000.0250000000021</v>
      </c>
    </row>
    <row r="16" spans="1:7" ht="18.75" customHeight="1" x14ac:dyDescent="0.35">
      <c r="A16" s="3">
        <v>1</v>
      </c>
      <c r="B16" s="3">
        <v>75000</v>
      </c>
      <c r="C16" s="6">
        <v>0.92739000000000005</v>
      </c>
      <c r="D16" s="7">
        <f t="shared" si="0"/>
        <v>2.4590000000000001E-2</v>
      </c>
      <c r="E16">
        <f t="shared" si="1"/>
        <v>97335416.666666672</v>
      </c>
      <c r="G16">
        <f t="shared" si="2"/>
        <v>1536.875</v>
      </c>
    </row>
    <row r="17" spans="1:7" ht="18.75" customHeight="1" x14ac:dyDescent="0.35">
      <c r="A17" s="3">
        <v>1</v>
      </c>
      <c r="B17" s="3">
        <v>100000</v>
      </c>
      <c r="C17" s="6">
        <v>0.94255999999999995</v>
      </c>
      <c r="D17" s="7">
        <f t="shared" si="0"/>
        <v>1.5169999999999906E-2</v>
      </c>
      <c r="E17">
        <f t="shared" si="1"/>
        <v>116935416.66666593</v>
      </c>
      <c r="G17">
        <f t="shared" si="2"/>
        <v>1327.3749999999918</v>
      </c>
    </row>
    <row r="18" spans="1:7" ht="18.75" customHeight="1" x14ac:dyDescent="0.35">
      <c r="A18" s="3">
        <v>1</v>
      </c>
      <c r="B18" s="3">
        <v>125000</v>
      </c>
      <c r="C18" s="6">
        <v>0.95277999999999996</v>
      </c>
      <c r="D18" s="7">
        <f t="shared" si="0"/>
        <v>1.0220000000000007E-2</v>
      </c>
      <c r="E18">
        <f t="shared" si="1"/>
        <v>129879166.66666675</v>
      </c>
      <c r="G18">
        <f t="shared" si="2"/>
        <v>1149.7500000000007</v>
      </c>
    </row>
    <row r="19" spans="1:7" ht="18.75" customHeight="1" x14ac:dyDescent="0.35">
      <c r="A19" s="3">
        <v>1</v>
      </c>
      <c r="B19" s="3">
        <v>150000</v>
      </c>
      <c r="C19" s="6">
        <v>0.96009</v>
      </c>
      <c r="D19" s="7">
        <f t="shared" si="0"/>
        <v>7.3100000000000387E-3</v>
      </c>
      <c r="E19">
        <f t="shared" si="1"/>
        <v>138585416.6666674</v>
      </c>
      <c r="G19">
        <f t="shared" si="2"/>
        <v>1005.1250000000053</v>
      </c>
    </row>
    <row r="20" spans="1:7" ht="18.75" customHeight="1" x14ac:dyDescent="0.35">
      <c r="A20" s="3">
        <v>1</v>
      </c>
      <c r="B20" s="3">
        <v>175000</v>
      </c>
      <c r="C20" s="6">
        <v>0.96555999999999997</v>
      </c>
      <c r="D20" s="7">
        <f t="shared" si="0"/>
        <v>5.4699999999999749E-3</v>
      </c>
      <c r="E20">
        <f t="shared" si="1"/>
        <v>144727083.33333269</v>
      </c>
      <c r="G20">
        <f t="shared" si="2"/>
        <v>888.87499999999591</v>
      </c>
    </row>
    <row r="21" spans="1:7" ht="18.75" customHeight="1" x14ac:dyDescent="0.35">
      <c r="A21" s="3">
        <v>1</v>
      </c>
      <c r="B21" s="3">
        <v>200000</v>
      </c>
      <c r="C21" s="6">
        <v>0.96979000000000004</v>
      </c>
      <c r="D21" s="7">
        <f t="shared" si="0"/>
        <v>4.230000000000067E-3</v>
      </c>
      <c r="E21">
        <f t="shared" si="1"/>
        <v>148931250.00000235</v>
      </c>
      <c r="G21">
        <f t="shared" si="2"/>
        <v>793.12500000001262</v>
      </c>
    </row>
    <row r="22" spans="1:7" ht="18.75" customHeight="1" x14ac:dyDescent="0.35">
      <c r="A22" s="3">
        <v>1</v>
      </c>
      <c r="B22" s="3">
        <v>225000</v>
      </c>
      <c r="C22" s="6">
        <v>0.97316000000000003</v>
      </c>
      <c r="D22" s="7">
        <f t="shared" si="0"/>
        <v>3.3699999999999841E-3</v>
      </c>
      <c r="E22">
        <f t="shared" si="1"/>
        <v>152352083.33333263</v>
      </c>
      <c r="G22">
        <f t="shared" si="2"/>
        <v>716.12499999999659</v>
      </c>
    </row>
    <row r="23" spans="1:7" ht="18.75" customHeight="1" x14ac:dyDescent="0.35">
      <c r="A23" s="3">
        <v>1</v>
      </c>
      <c r="B23" s="3">
        <v>250000</v>
      </c>
      <c r="C23" s="6">
        <v>0.97589999999999999</v>
      </c>
      <c r="D23" s="7">
        <f t="shared" si="0"/>
        <v>2.7399999999999647E-3</v>
      </c>
      <c r="E23">
        <f t="shared" si="1"/>
        <v>154695833.33333135</v>
      </c>
      <c r="G23">
        <f t="shared" si="2"/>
        <v>650.74999999999159</v>
      </c>
    </row>
    <row r="24" spans="1:7" ht="18.75" customHeight="1" x14ac:dyDescent="0.35">
      <c r="A24" s="3"/>
      <c r="B24" s="3">
        <v>250000</v>
      </c>
      <c r="C24" s="3"/>
      <c r="D24" s="7">
        <f>1-C23</f>
        <v>2.410000000000001E-2</v>
      </c>
      <c r="E24">
        <f t="shared" si="1"/>
        <v>1506250000.0000007</v>
      </c>
      <c r="G24">
        <f t="shared" si="2"/>
        <v>6025.0000000000027</v>
      </c>
    </row>
    <row r="25" spans="1:7" ht="18.75" customHeight="1" x14ac:dyDescent="0.35">
      <c r="A25" s="3"/>
      <c r="B25" s="3"/>
      <c r="C25" s="2"/>
      <c r="E25">
        <f>SUM(E2:E24)</f>
        <v>2674604033.333333</v>
      </c>
      <c r="G25">
        <f>SUM(G2:G24)</f>
        <v>18197.945</v>
      </c>
    </row>
    <row r="26" spans="1:7" ht="18.75" customHeight="1" x14ac:dyDescent="0.35">
      <c r="A26" s="3"/>
      <c r="B26" s="3"/>
      <c r="C26" s="2"/>
    </row>
    <row r="27" spans="1:7" x14ac:dyDescent="0.35">
      <c r="E27">
        <f>E25-G25*G25</f>
        <v>2343438831.1103082</v>
      </c>
    </row>
    <row r="28" spans="1:7" x14ac:dyDescent="0.35">
      <c r="E28">
        <f>SQRT(E27)</f>
        <v>48409.077982443625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41"/>
  <sheetViews>
    <sheetView workbookViewId="0">
      <selection activeCell="B2" sqref="B2:B41"/>
    </sheetView>
  </sheetViews>
  <sheetFormatPr defaultRowHeight="14.5" x14ac:dyDescent="0.35"/>
  <cols>
    <col min="1" max="1" width="13.54296875" bestFit="1" customWidth="1"/>
    <col min="2" max="2" width="13.54296875" style="1" bestFit="1" customWidth="1"/>
  </cols>
  <sheetData>
    <row r="1" spans="1:2" ht="18.75" customHeight="1" x14ac:dyDescent="0.35">
      <c r="A1" t="s">
        <v>0</v>
      </c>
      <c r="B1" s="1" t="s">
        <v>1</v>
      </c>
    </row>
    <row r="2" spans="1:2" ht="18.75" customHeight="1" x14ac:dyDescent="0.35">
      <c r="B2" s="2">
        <v>0.1</v>
      </c>
    </row>
    <row r="3" spans="1:2" ht="18.75" customHeight="1" x14ac:dyDescent="0.35">
      <c r="B3" s="2">
        <v>0.2</v>
      </c>
    </row>
    <row r="4" spans="1:2" ht="18.75" customHeight="1" x14ac:dyDescent="0.35">
      <c r="B4" s="2">
        <v>0.3</v>
      </c>
    </row>
    <row r="5" spans="1:2" ht="18.75" customHeight="1" x14ac:dyDescent="0.35">
      <c r="B5" s="2">
        <v>0.4</v>
      </c>
    </row>
    <row r="6" spans="1:2" ht="18.75" customHeight="1" x14ac:dyDescent="0.35">
      <c r="B6" s="2">
        <v>0.5</v>
      </c>
    </row>
    <row r="7" spans="1:2" ht="18.75" customHeight="1" x14ac:dyDescent="0.35">
      <c r="B7" s="2">
        <v>0.6</v>
      </c>
    </row>
    <row r="8" spans="1:2" ht="18.75" customHeight="1" x14ac:dyDescent="0.35">
      <c r="B8" s="2">
        <v>0.7</v>
      </c>
    </row>
    <row r="9" spans="1:2" ht="18.75" customHeight="1" x14ac:dyDescent="0.35">
      <c r="B9" s="2">
        <v>0.8</v>
      </c>
    </row>
    <row r="10" spans="1:2" ht="18.75" customHeight="1" x14ac:dyDescent="0.35">
      <c r="B10" s="2">
        <v>0.9</v>
      </c>
    </row>
    <row r="11" spans="1:2" ht="18.75" customHeight="1" x14ac:dyDescent="0.35">
      <c r="B11" s="3">
        <v>1</v>
      </c>
    </row>
    <row r="12" spans="1:2" ht="18.75" customHeight="1" x14ac:dyDescent="0.35">
      <c r="B12" s="2">
        <v>1.1000000000000001</v>
      </c>
    </row>
    <row r="13" spans="1:2" ht="18.75" customHeight="1" x14ac:dyDescent="0.35">
      <c r="B13" s="2">
        <v>1.2</v>
      </c>
    </row>
    <row r="14" spans="1:2" ht="18.75" customHeight="1" x14ac:dyDescent="0.35">
      <c r="B14" s="2">
        <v>1.3</v>
      </c>
    </row>
    <row r="15" spans="1:2" ht="18.75" customHeight="1" x14ac:dyDescent="0.35">
      <c r="B15" s="2">
        <v>1.4</v>
      </c>
    </row>
    <row r="16" spans="1:2" ht="18.75" customHeight="1" x14ac:dyDescent="0.35">
      <c r="B16" s="2">
        <v>1.5</v>
      </c>
    </row>
    <row r="17" spans="2:2" ht="18.75" customHeight="1" x14ac:dyDescent="0.35">
      <c r="B17" s="2">
        <v>1.6</v>
      </c>
    </row>
    <row r="18" spans="2:2" ht="18.75" customHeight="1" x14ac:dyDescent="0.35">
      <c r="B18" s="2">
        <v>1.7</v>
      </c>
    </row>
    <row r="19" spans="2:2" ht="18.75" customHeight="1" x14ac:dyDescent="0.35">
      <c r="B19" s="2">
        <v>1.8</v>
      </c>
    </row>
    <row r="20" spans="2:2" ht="18.75" customHeight="1" x14ac:dyDescent="0.35">
      <c r="B20" s="2">
        <v>1.9</v>
      </c>
    </row>
    <row r="21" spans="2:2" ht="18.75" customHeight="1" x14ac:dyDescent="0.35">
      <c r="B21" s="3">
        <v>2</v>
      </c>
    </row>
    <row r="22" spans="2:2" x14ac:dyDescent="0.35">
      <c r="B22" s="2">
        <v>2.1</v>
      </c>
    </row>
    <row r="23" spans="2:2" x14ac:dyDescent="0.35">
      <c r="B23" s="2">
        <v>2.2000000000000002</v>
      </c>
    </row>
    <row r="24" spans="2:2" x14ac:dyDescent="0.35">
      <c r="B24" s="2">
        <v>2.2999999999999998</v>
      </c>
    </row>
    <row r="25" spans="2:2" x14ac:dyDescent="0.35">
      <c r="B25" s="2">
        <v>2.4</v>
      </c>
    </row>
    <row r="26" spans="2:2" x14ac:dyDescent="0.35">
      <c r="B26" s="2">
        <v>2.5</v>
      </c>
    </row>
    <row r="27" spans="2:2" x14ac:dyDescent="0.35">
      <c r="B27" s="2">
        <v>2.6</v>
      </c>
    </row>
    <row r="28" spans="2:2" x14ac:dyDescent="0.35">
      <c r="B28" s="2">
        <v>2.7</v>
      </c>
    </row>
    <row r="29" spans="2:2" x14ac:dyDescent="0.35">
      <c r="B29" s="2">
        <v>2.8</v>
      </c>
    </row>
    <row r="30" spans="2:2" x14ac:dyDescent="0.35">
      <c r="B30" s="2">
        <v>2.9</v>
      </c>
    </row>
    <row r="31" spans="2:2" x14ac:dyDescent="0.35">
      <c r="B31" s="3">
        <v>3</v>
      </c>
    </row>
    <row r="32" spans="2:2" x14ac:dyDescent="0.35">
      <c r="B32" s="2">
        <v>3.1</v>
      </c>
    </row>
    <row r="33" spans="2:2" x14ac:dyDescent="0.35">
      <c r="B33" s="2">
        <v>3.2</v>
      </c>
    </row>
    <row r="34" spans="2:2" x14ac:dyDescent="0.35">
      <c r="B34" s="2">
        <v>3.3</v>
      </c>
    </row>
    <row r="35" spans="2:2" x14ac:dyDescent="0.35">
      <c r="B35" s="2">
        <v>3.4</v>
      </c>
    </row>
    <row r="36" spans="2:2" x14ac:dyDescent="0.35">
      <c r="B36" s="2">
        <v>3.5</v>
      </c>
    </row>
    <row r="37" spans="2:2" x14ac:dyDescent="0.35">
      <c r="B37" s="2">
        <v>3.6</v>
      </c>
    </row>
    <row r="38" spans="2:2" x14ac:dyDescent="0.35">
      <c r="B38" s="2">
        <v>3.7</v>
      </c>
    </row>
    <row r="39" spans="2:2" x14ac:dyDescent="0.35">
      <c r="B39" s="2">
        <v>3.8</v>
      </c>
    </row>
    <row r="40" spans="2:2" x14ac:dyDescent="0.35">
      <c r="B40" s="2">
        <v>3.9</v>
      </c>
    </row>
    <row r="41" spans="2:2" x14ac:dyDescent="0.35">
      <c r="B4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Lines</vt:lpstr>
      <vt:lpstr>Distributions</vt:lpstr>
      <vt:lpstr>OutputPoints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Shpritz</cp:lastModifiedBy>
  <dcterms:created xsi:type="dcterms:W3CDTF">2026-05-12T14:10:41Z</dcterms:created>
  <dcterms:modified xsi:type="dcterms:W3CDTF">2026-05-15T15:05:32Z</dcterms:modified>
</cp:coreProperties>
</file>